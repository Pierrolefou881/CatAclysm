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d\OneDrive\Documents\Travail\AMINJ\Master1\Web_Alexandre\CatAclysm\"/>
    </mc:Choice>
  </mc:AlternateContent>
  <xr:revisionPtr revIDLastSave="0" documentId="13_ncr:1_{D48520C3-81D5-4419-893D-AEFD71CEAA0E}" xr6:coauthVersionLast="47" xr6:coauthVersionMax="47" xr10:uidLastSave="{00000000-0000-0000-0000-000000000000}"/>
  <bookViews>
    <workbookView xWindow="-108" yWindow="-108" windowWidth="23256" windowHeight="13176" xr2:uid="{7E5CFB2A-D369-465B-99A0-3715DC6609A1}"/>
  </bookViews>
  <sheets>
    <sheet name="Cout hor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K41" i="1"/>
  <c r="I76" i="1"/>
  <c r="I63" i="1"/>
  <c r="J71" i="1"/>
  <c r="I74" i="1"/>
  <c r="J45" i="1"/>
  <c r="I72" i="1"/>
  <c r="F71" i="1"/>
  <c r="H71" i="1"/>
  <c r="I71" i="1"/>
  <c r="F54" i="1"/>
  <c r="F55" i="1"/>
  <c r="F58" i="1"/>
  <c r="F59" i="1"/>
  <c r="F60" i="1"/>
  <c r="F61" i="1"/>
  <c r="F62" i="1"/>
  <c r="F65" i="1"/>
  <c r="F66" i="1"/>
  <c r="F67" i="1"/>
  <c r="F68" i="1"/>
  <c r="F69" i="1"/>
  <c r="F70" i="1"/>
  <c r="F53" i="1"/>
  <c r="I54" i="1"/>
  <c r="I55" i="1"/>
  <c r="I58" i="1"/>
  <c r="I59" i="1"/>
  <c r="I60" i="1"/>
  <c r="I61" i="1"/>
  <c r="I62" i="1"/>
  <c r="I65" i="1"/>
  <c r="I66" i="1"/>
  <c r="I67" i="1"/>
  <c r="I68" i="1"/>
  <c r="I69" i="1"/>
  <c r="I70" i="1"/>
  <c r="I53" i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2" i="1"/>
  <c r="J62" i="1" s="1"/>
  <c r="H61" i="1"/>
  <c r="J61" i="1" s="1"/>
  <c r="H60" i="1"/>
  <c r="J60" i="1" s="1"/>
  <c r="H59" i="1"/>
  <c r="J59" i="1" s="1"/>
  <c r="H58" i="1"/>
  <c r="J58" i="1" s="1"/>
  <c r="H55" i="1"/>
  <c r="J55" i="1" s="1"/>
  <c r="H54" i="1"/>
  <c r="J54" i="1" s="1"/>
  <c r="H53" i="1"/>
  <c r="J53" i="1" s="1"/>
  <c r="J56" i="1" s="1"/>
  <c r="J63" i="1" l="1"/>
  <c r="J72" i="1"/>
  <c r="J74" i="1"/>
  <c r="H72" i="1"/>
  <c r="I56" i="1"/>
  <c r="H63" i="1"/>
  <c r="H56" i="1"/>
  <c r="J23" i="1"/>
  <c r="I39" i="1"/>
  <c r="I38" i="1"/>
  <c r="I37" i="1"/>
  <c r="I36" i="1"/>
  <c r="I35" i="1"/>
  <c r="J35" i="1"/>
  <c r="J36" i="1"/>
  <c r="J37" i="1"/>
  <c r="J38" i="1"/>
  <c r="J39" i="1"/>
  <c r="J40" i="1"/>
  <c r="I40" i="1"/>
  <c r="I41" i="1" s="1"/>
  <c r="G35" i="1"/>
  <c r="G36" i="1"/>
  <c r="G37" i="1"/>
  <c r="G38" i="1"/>
  <c r="G39" i="1"/>
  <c r="G40" i="1"/>
  <c r="G31" i="1"/>
  <c r="J24" i="1"/>
  <c r="J25" i="1"/>
  <c r="J28" i="1"/>
  <c r="J29" i="1"/>
  <c r="J30" i="1"/>
  <c r="J31" i="1"/>
  <c r="J32" i="1"/>
  <c r="G32" i="1"/>
  <c r="I32" i="1"/>
  <c r="I31" i="1"/>
  <c r="I30" i="1"/>
  <c r="G30" i="1"/>
  <c r="I29" i="1"/>
  <c r="G29" i="1"/>
  <c r="I28" i="1"/>
  <c r="G28" i="1"/>
  <c r="I24" i="1"/>
  <c r="I25" i="1"/>
  <c r="I23" i="1"/>
  <c r="G24" i="1"/>
  <c r="G25" i="1"/>
  <c r="G23" i="1"/>
  <c r="B16" i="1"/>
  <c r="B17" i="1" s="1"/>
  <c r="C18" i="1" s="1"/>
  <c r="E3" i="1"/>
  <c r="E4" i="1"/>
  <c r="E2" i="1"/>
  <c r="H74" i="1" l="1"/>
  <c r="G76" i="1" s="1"/>
  <c r="J41" i="1"/>
  <c r="J33" i="1"/>
  <c r="K37" i="1"/>
  <c r="I33" i="1"/>
  <c r="I26" i="1"/>
  <c r="K36" i="1"/>
  <c r="K38" i="1"/>
  <c r="K35" i="1"/>
  <c r="K39" i="1"/>
  <c r="K31" i="1"/>
  <c r="K33" i="1" s="1"/>
  <c r="K43" i="1" s="1"/>
  <c r="K40" i="1"/>
  <c r="K32" i="1"/>
  <c r="K30" i="1"/>
  <c r="K28" i="1"/>
  <c r="K29" i="1"/>
  <c r="K25" i="1"/>
  <c r="K24" i="1"/>
  <c r="F3" i="1"/>
  <c r="G3" i="1" s="1"/>
  <c r="F4" i="1"/>
  <c r="G4" i="1" s="1"/>
  <c r="F2" i="1"/>
  <c r="G2" i="1" s="1"/>
  <c r="I43" i="1" l="1"/>
  <c r="I45" i="1" s="1"/>
  <c r="K23" i="1"/>
  <c r="K26" i="1" s="1"/>
  <c r="J26" i="1"/>
  <c r="J43" i="1" l="1"/>
</calcChain>
</file>

<file path=xl/sharedStrings.xml><?xml version="1.0" encoding="utf-8"?>
<sst xmlns="http://schemas.openxmlformats.org/spreadsheetml/2006/main" count="132" uniqueCount="66">
  <si>
    <t>Chef de projet</t>
  </si>
  <si>
    <t>net</t>
  </si>
  <si>
    <t>cout entreprise</t>
  </si>
  <si>
    <t>Marge 10%</t>
  </si>
  <si>
    <t>Charges</t>
  </si>
  <si>
    <t>Loyer</t>
  </si>
  <si>
    <t>internet</t>
  </si>
  <si>
    <t>edf</t>
  </si>
  <si>
    <t>com</t>
  </si>
  <si>
    <t>Comptable</t>
  </si>
  <si>
    <t>Consommables</t>
  </si>
  <si>
    <t>Emprunt</t>
  </si>
  <si>
    <t>Licences</t>
  </si>
  <si>
    <t>cout horaire</t>
  </si>
  <si>
    <t>Cout horaire vendu</t>
  </si>
  <si>
    <t>Grégoire</t>
  </si>
  <si>
    <t xml:space="preserve">Pierre </t>
  </si>
  <si>
    <t>Vincent</t>
  </si>
  <si>
    <t>Dev, Game Designer</t>
  </si>
  <si>
    <t>Dev, Sound Designer</t>
  </si>
  <si>
    <t>TOTAL :</t>
  </si>
  <si>
    <t>Reprévision mi-parcours</t>
  </si>
  <si>
    <t>Lot</t>
  </si>
  <si>
    <t>Conception</t>
  </si>
  <si>
    <t>Qui</t>
  </si>
  <si>
    <t>UI</t>
  </si>
  <si>
    <t>Pierre</t>
  </si>
  <si>
    <t>Delta</t>
  </si>
  <si>
    <t>Delta cout</t>
  </si>
  <si>
    <t>Tache</t>
  </si>
  <si>
    <t>Temps estimé(h)</t>
  </si>
  <si>
    <t>Temps passé(h)</t>
  </si>
  <si>
    <t>Reprevision (h)</t>
  </si>
  <si>
    <t>Cout Horaire</t>
  </si>
  <si>
    <t>Cout prod Initial</t>
  </si>
  <si>
    <t>Cout prod reprevision</t>
  </si>
  <si>
    <t>Perso</t>
  </si>
  <si>
    <t>marge initiale</t>
  </si>
  <si>
    <t>marge reprevision</t>
  </si>
  <si>
    <t>Character creation</t>
  </si>
  <si>
    <t>Data managment</t>
  </si>
  <si>
    <t xml:space="preserve">Effectué le : </t>
  </si>
  <si>
    <t>Nb h sur prjt :</t>
  </si>
  <si>
    <t>Management</t>
  </si>
  <si>
    <t>Managment</t>
  </si>
  <si>
    <t>Gameplay</t>
  </si>
  <si>
    <t>Chara desing</t>
  </si>
  <si>
    <t>TOTAUX</t>
  </si>
  <si>
    <t>Coût de vente</t>
  </si>
  <si>
    <t>Déplacements</t>
  </si>
  <si>
    <t>Inventaires</t>
  </si>
  <si>
    <t>Système de combat</t>
  </si>
  <si>
    <t>Sound Desing</t>
  </si>
  <si>
    <t>UI HUD</t>
  </si>
  <si>
    <t>Sys quêtes (optionnal)</t>
  </si>
  <si>
    <t>//</t>
  </si>
  <si>
    <t>Total</t>
  </si>
  <si>
    <t>32h</t>
  </si>
  <si>
    <t>Heures hommes</t>
  </si>
  <si>
    <t>on arrondit à 6000</t>
  </si>
  <si>
    <t>Budget final</t>
  </si>
  <si>
    <t>Cout final</t>
  </si>
  <si>
    <t>44h</t>
  </si>
  <si>
    <t>marge finale</t>
  </si>
  <si>
    <t>Dés</t>
  </si>
  <si>
    <t>Coût mensuel par employé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</si>
</sst>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5" borderId="1" xfId="0" applyFill="1" applyBorder="1"/>
    <xf numFmtId="0" fontId="0" fillId="6" borderId="1" xfId="0" applyFill="1" applyBorder="1"/>
    <xf numFmtId="164" fontId="0" fillId="6" borderId="1" xfId="3" applyNumberFormat="1" applyFont="1" applyFill="1" applyBorder="1"/>
    <xf numFmtId="164" fontId="0" fillId="6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8" borderId="4" xfId="0" applyFill="1" applyBorder="1"/>
    <xf numFmtId="0" fontId="0" fillId="4" borderId="0" xfId="0" applyFill="1"/>
    <xf numFmtId="0" fontId="0" fillId="8" borderId="6" xfId="0" applyFill="1" applyBorder="1"/>
    <xf numFmtId="0" fontId="0" fillId="9" borderId="4" xfId="0" applyFill="1" applyBorder="1"/>
    <xf numFmtId="0" fontId="0" fillId="5" borderId="4" xfId="0" applyFill="1" applyBorder="1"/>
    <xf numFmtId="0" fontId="0" fillId="5" borderId="5" xfId="0" applyFill="1" applyBorder="1"/>
    <xf numFmtId="164" fontId="0" fillId="6" borderId="5" xfId="0" applyNumberFormat="1" applyFill="1" applyBorder="1"/>
    <xf numFmtId="0" fontId="0" fillId="8" borderId="2" xfId="0" applyFill="1" applyBorder="1"/>
    <xf numFmtId="164" fontId="0" fillId="6" borderId="4" xfId="3" applyNumberFormat="1" applyFont="1" applyFill="1" applyBorder="1"/>
    <xf numFmtId="164" fontId="0" fillId="6" borderId="4" xfId="0" applyNumberFormat="1" applyFill="1" applyBorder="1"/>
    <xf numFmtId="164" fontId="0" fillId="4" borderId="0" xfId="0" applyNumberFormat="1" applyFill="1"/>
    <xf numFmtId="164" fontId="0" fillId="4" borderId="0" xfId="3" applyNumberFormat="1" applyFont="1" applyFill="1" applyBorder="1"/>
    <xf numFmtId="0" fontId="0" fillId="7" borderId="6" xfId="0" applyFill="1" applyBorder="1"/>
    <xf numFmtId="0" fontId="0" fillId="7" borderId="9" xfId="0" applyFill="1" applyBorder="1"/>
    <xf numFmtId="0" fontId="0" fillId="7" borderId="8" xfId="0" applyFill="1" applyBorder="1"/>
    <xf numFmtId="0" fontId="0" fillId="7" borderId="2" xfId="0" applyFill="1" applyBorder="1"/>
    <xf numFmtId="0" fontId="0" fillId="7" borderId="10" xfId="0" applyFill="1" applyBorder="1"/>
    <xf numFmtId="0" fontId="0" fillId="7" borderId="11" xfId="0" applyFill="1" applyBorder="1"/>
    <xf numFmtId="9" fontId="0" fillId="7" borderId="12" xfId="2" applyFont="1" applyFill="1" applyBorder="1"/>
    <xf numFmtId="0" fontId="0" fillId="7" borderId="7" xfId="0" applyFill="1" applyBorder="1"/>
    <xf numFmtId="0" fontId="2" fillId="10" borderId="0" xfId="0" applyFont="1" applyFill="1"/>
    <xf numFmtId="164" fontId="2" fillId="10" borderId="0" xfId="0" applyNumberFormat="1" applyFont="1" applyFill="1"/>
    <xf numFmtId="10" fontId="0" fillId="0" borderId="0" xfId="0" applyNumberFormat="1"/>
    <xf numFmtId="0" fontId="0" fillId="7" borderId="13" xfId="0" applyFill="1" applyBorder="1"/>
    <xf numFmtId="6" fontId="0" fillId="7" borderId="13" xfId="0" applyNumberFormat="1" applyFill="1" applyBorder="1"/>
    <xf numFmtId="164" fontId="2" fillId="10" borderId="5" xfId="0" applyNumberFormat="1" applyFont="1" applyFill="1" applyBorder="1"/>
    <xf numFmtId="164" fontId="2" fillId="10" borderId="14" xfId="0" applyNumberFormat="1" applyFont="1" applyFill="1" applyBorder="1"/>
    <xf numFmtId="165" fontId="0" fillId="6" borderId="1" xfId="0" applyNumberFormat="1" applyFill="1" applyBorder="1"/>
    <xf numFmtId="164" fontId="0" fillId="3" borderId="0" xfId="0" applyNumberFormat="1" applyFill="1" applyAlignment="1">
      <alignment horizontal="left"/>
    </xf>
    <xf numFmtId="0" fontId="0" fillId="11" borderId="0" xfId="0" applyFill="1"/>
    <xf numFmtId="0" fontId="0" fillId="6" borderId="0" xfId="0" applyFill="1"/>
    <xf numFmtId="164" fontId="0" fillId="6" borderId="0" xfId="1" applyNumberFormat="1" applyFont="1" applyFill="1"/>
    <xf numFmtId="164" fontId="0" fillId="6" borderId="0" xfId="0" applyNumberFormat="1" applyFill="1"/>
    <xf numFmtId="0" fontId="0" fillId="12" borderId="0" xfId="0" applyFill="1"/>
    <xf numFmtId="16" fontId="0" fillId="12" borderId="0" xfId="0" applyNumberFormat="1" applyFill="1"/>
    <xf numFmtId="0" fontId="0" fillId="12" borderId="0" xfId="0" applyFill="1" applyAlignment="1">
      <alignment horizontal="right"/>
    </xf>
    <xf numFmtId="0" fontId="0" fillId="8" borderId="15" xfId="0" applyFill="1" applyBorder="1"/>
    <xf numFmtId="0" fontId="0" fillId="4" borderId="2" xfId="0" applyFill="1" applyBorder="1"/>
    <xf numFmtId="0" fontId="0" fillId="0" borderId="2" xfId="0" applyBorder="1"/>
    <xf numFmtId="0" fontId="0" fillId="13" borderId="0" xfId="0" applyFill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9" fontId="0" fillId="7" borderId="2" xfId="2" applyFont="1" applyFill="1" applyBorder="1" applyAlignment="1">
      <alignment horizontal="center"/>
    </xf>
    <xf numFmtId="9" fontId="0" fillId="7" borderId="0" xfId="2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9" fontId="0" fillId="7" borderId="10" xfId="2" applyFont="1" applyFill="1" applyBorder="1" applyAlignment="1">
      <alignment horizontal="center"/>
    </xf>
    <xf numFmtId="6" fontId="0" fillId="7" borderId="13" xfId="0" applyNumberFormat="1" applyFill="1" applyBorder="1" applyAlignment="1">
      <alignment horizontal="center"/>
    </xf>
    <xf numFmtId="6" fontId="0" fillId="7" borderId="3" xfId="0" applyNumberFormat="1" applyFill="1" applyBorder="1" applyAlignment="1">
      <alignment horizontal="center"/>
    </xf>
    <xf numFmtId="165" fontId="0" fillId="13" borderId="0" xfId="0" applyNumberFormat="1" applyFill="1"/>
    <xf numFmtId="165" fontId="0" fillId="11" borderId="0" xfId="0" applyNumberFormat="1" applyFill="1"/>
  </cellXfs>
  <cellStyles count="4">
    <cellStyle name="Monétaire" xfId="1" builtinId="4"/>
    <cellStyle name="Monétaire 2" xfId="3" xr:uid="{B2897795-F2C3-49C6-A929-2B06296BF437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9955-39C7-48F2-A97E-36A8D44AAD9B}">
  <dimension ref="A1:L77"/>
  <sheetViews>
    <sheetView tabSelected="1" topLeftCell="A19" zoomScaleNormal="100" workbookViewId="0">
      <selection activeCell="E15" sqref="E15"/>
    </sheetView>
  </sheetViews>
  <sheetFormatPr baseColWidth="10" defaultRowHeight="14.4" x14ac:dyDescent="0.3"/>
  <cols>
    <col min="1" max="1" width="17.21875" customWidth="1"/>
    <col min="2" max="2" width="18.44140625" customWidth="1"/>
    <col min="3" max="3" width="13.21875" customWidth="1"/>
    <col min="4" max="4" width="14.77734375" customWidth="1"/>
    <col min="5" max="5" width="14.21875" customWidth="1"/>
    <col min="6" max="6" width="12.88671875" customWidth="1"/>
    <col min="7" max="7" width="16.6640625" customWidth="1"/>
    <col min="8" max="8" width="15.77734375" customWidth="1"/>
    <col min="9" max="9" width="16" customWidth="1"/>
    <col min="10" max="10" width="19.6640625" customWidth="1"/>
    <col min="12" max="12" width="17.88671875" customWidth="1"/>
    <col min="13" max="13" width="18.21875" customWidth="1"/>
  </cols>
  <sheetData>
    <row r="1" spans="1:7" x14ac:dyDescent="0.3">
      <c r="A1" s="42"/>
      <c r="B1" s="42"/>
      <c r="C1" s="42" t="s">
        <v>1</v>
      </c>
      <c r="D1" s="42" t="s">
        <v>2</v>
      </c>
      <c r="E1" s="42" t="s">
        <v>3</v>
      </c>
      <c r="F1" s="42" t="s">
        <v>13</v>
      </c>
      <c r="G1" s="42" t="s">
        <v>14</v>
      </c>
    </row>
    <row r="2" spans="1:7" x14ac:dyDescent="0.3">
      <c r="A2" s="42" t="s">
        <v>15</v>
      </c>
      <c r="B2" s="42" t="s">
        <v>0</v>
      </c>
      <c r="C2" s="43">
        <v>2200</v>
      </c>
      <c r="D2" s="43">
        <v>3803</v>
      </c>
      <c r="E2" s="44">
        <f>D2*1.1</f>
        <v>4183.3</v>
      </c>
      <c r="F2" s="44">
        <f>(E2+$C$18)/150</f>
        <v>32.700000000000003</v>
      </c>
      <c r="G2" s="44">
        <f>F2*1.5</f>
        <v>49.050000000000004</v>
      </c>
    </row>
    <row r="3" spans="1:7" x14ac:dyDescent="0.3">
      <c r="A3" s="42" t="s">
        <v>16</v>
      </c>
      <c r="B3" s="42" t="s">
        <v>18</v>
      </c>
      <c r="C3" s="43">
        <v>2000</v>
      </c>
      <c r="D3" s="43">
        <v>3327</v>
      </c>
      <c r="E3" s="44">
        <f t="shared" ref="E3:E4" si="0">D3*1.1</f>
        <v>3659.7000000000003</v>
      </c>
      <c r="F3" s="44">
        <f>(E3+$C$18)/150</f>
        <v>29.209333333333337</v>
      </c>
      <c r="G3" s="44">
        <f t="shared" ref="G3:G4" si="1">F3*1.5</f>
        <v>43.814000000000007</v>
      </c>
    </row>
    <row r="4" spans="1:7" x14ac:dyDescent="0.3">
      <c r="A4" s="42" t="s">
        <v>17</v>
      </c>
      <c r="B4" s="42" t="s">
        <v>19</v>
      </c>
      <c r="C4" s="43">
        <v>1800</v>
      </c>
      <c r="D4" s="43">
        <v>2851</v>
      </c>
      <c r="E4" s="44">
        <f t="shared" si="0"/>
        <v>3136.1000000000004</v>
      </c>
      <c r="F4" s="44">
        <f>(E4+$C$18)/150</f>
        <v>25.718666666666667</v>
      </c>
      <c r="G4" s="44">
        <f t="shared" si="1"/>
        <v>38.578000000000003</v>
      </c>
    </row>
    <row r="7" spans="1:7" x14ac:dyDescent="0.3">
      <c r="F7" s="32" t="s">
        <v>20</v>
      </c>
      <c r="G7" s="33">
        <f>SUM(G2:G4)*44</f>
        <v>5783.4480000000003</v>
      </c>
    </row>
    <row r="8" spans="1:7" x14ac:dyDescent="0.3">
      <c r="A8" s="41"/>
      <c r="B8" s="41" t="s">
        <v>4</v>
      </c>
      <c r="C8" s="41"/>
      <c r="F8" s="32"/>
      <c r="G8" s="32" t="s">
        <v>59</v>
      </c>
    </row>
    <row r="9" spans="1:7" x14ac:dyDescent="0.3">
      <c r="A9" s="41" t="s">
        <v>5</v>
      </c>
      <c r="B9" s="63">
        <v>600</v>
      </c>
      <c r="C9" s="41"/>
    </row>
    <row r="10" spans="1:7" x14ac:dyDescent="0.3">
      <c r="A10" s="41" t="s">
        <v>6</v>
      </c>
      <c r="B10" s="63">
        <v>80</v>
      </c>
      <c r="C10" s="41"/>
    </row>
    <row r="11" spans="1:7" x14ac:dyDescent="0.3">
      <c r="A11" s="41" t="s">
        <v>7</v>
      </c>
      <c r="B11" s="63">
        <v>130</v>
      </c>
      <c r="C11" s="41"/>
    </row>
    <row r="12" spans="1:7" x14ac:dyDescent="0.3">
      <c r="A12" s="41" t="s">
        <v>8</v>
      </c>
      <c r="B12" s="63">
        <v>200</v>
      </c>
      <c r="C12" s="41"/>
    </row>
    <row r="13" spans="1:7" x14ac:dyDescent="0.3">
      <c r="A13" s="41" t="s">
        <v>9</v>
      </c>
      <c r="B13" s="63">
        <v>200</v>
      </c>
      <c r="C13" s="41"/>
    </row>
    <row r="14" spans="1:7" x14ac:dyDescent="0.3">
      <c r="A14" s="41" t="s">
        <v>10</v>
      </c>
      <c r="B14" s="63">
        <v>550</v>
      </c>
      <c r="C14" s="41"/>
    </row>
    <row r="15" spans="1:7" x14ac:dyDescent="0.3">
      <c r="A15" s="41" t="s">
        <v>11</v>
      </c>
      <c r="B15" s="63">
        <v>200</v>
      </c>
      <c r="C15" s="41"/>
    </row>
    <row r="16" spans="1:7" x14ac:dyDescent="0.3">
      <c r="A16" s="41" t="s">
        <v>12</v>
      </c>
      <c r="B16" s="63">
        <f>3*11.7+170</f>
        <v>205.1</v>
      </c>
      <c r="C16" s="41"/>
    </row>
    <row r="17" spans="1:12" x14ac:dyDescent="0.3">
      <c r="A17" s="41"/>
      <c r="B17" s="63">
        <f>SUM(B9:B16)</f>
        <v>2165.1</v>
      </c>
      <c r="C17" s="41"/>
    </row>
    <row r="18" spans="1:12" x14ac:dyDescent="0.3">
      <c r="A18" s="51" t="s">
        <v>65</v>
      </c>
      <c r="B18" s="51"/>
      <c r="C18" s="62">
        <f>B17/3</f>
        <v>721.69999999999993</v>
      </c>
    </row>
    <row r="19" spans="1:12" x14ac:dyDescent="0.3">
      <c r="C19" s="1"/>
    </row>
    <row r="20" spans="1:12" s="2" customFormat="1" x14ac:dyDescent="0.3">
      <c r="A20" s="3" t="s">
        <v>21</v>
      </c>
    </row>
    <row r="21" spans="1:12" x14ac:dyDescent="0.3">
      <c r="A21" s="48" t="s">
        <v>22</v>
      </c>
      <c r="B21" s="10" t="s">
        <v>29</v>
      </c>
      <c r="C21" s="11" t="s">
        <v>24</v>
      </c>
      <c r="D21" s="6" t="s">
        <v>30</v>
      </c>
      <c r="E21" s="6" t="s">
        <v>31</v>
      </c>
      <c r="F21" s="6" t="s">
        <v>32</v>
      </c>
      <c r="G21" s="6" t="s">
        <v>27</v>
      </c>
      <c r="H21" s="7" t="s">
        <v>33</v>
      </c>
      <c r="I21" s="7" t="s">
        <v>34</v>
      </c>
      <c r="J21" s="7" t="s">
        <v>35</v>
      </c>
      <c r="K21" s="7" t="s">
        <v>28</v>
      </c>
    </row>
    <row r="22" spans="1:12" x14ac:dyDescent="0.3">
      <c r="A22" s="14" t="s">
        <v>23</v>
      </c>
      <c r="B22" s="49"/>
      <c r="C22" s="13"/>
      <c r="D22" s="13"/>
      <c r="E22" s="13"/>
      <c r="F22" s="13"/>
      <c r="G22" s="13"/>
      <c r="H22" s="13"/>
      <c r="I22" s="13"/>
      <c r="J22" s="13"/>
      <c r="K22" s="13"/>
    </row>
    <row r="23" spans="1:12" x14ac:dyDescent="0.3">
      <c r="A23" s="13"/>
      <c r="B23" s="10" t="s">
        <v>25</v>
      </c>
      <c r="C23" s="11" t="s">
        <v>17</v>
      </c>
      <c r="D23" s="6">
        <v>8</v>
      </c>
      <c r="E23" s="6">
        <v>8</v>
      </c>
      <c r="F23" s="6">
        <v>0</v>
      </c>
      <c r="G23" s="6">
        <f>E23-D23</f>
        <v>0</v>
      </c>
      <c r="H23" s="8">
        <v>26</v>
      </c>
      <c r="I23" s="8">
        <f>H23*D23</f>
        <v>208</v>
      </c>
      <c r="J23" s="9">
        <f>(F23+E23)*H23</f>
        <v>208</v>
      </c>
      <c r="K23" s="9">
        <f>J23-I23</f>
        <v>0</v>
      </c>
      <c r="L23" s="34"/>
    </row>
    <row r="24" spans="1:12" x14ac:dyDescent="0.3">
      <c r="A24" s="13"/>
      <c r="B24" s="10" t="s">
        <v>45</v>
      </c>
      <c r="C24" s="11" t="s">
        <v>26</v>
      </c>
      <c r="D24" s="6">
        <v>8</v>
      </c>
      <c r="E24" s="6">
        <v>8</v>
      </c>
      <c r="F24" s="6">
        <v>0</v>
      </c>
      <c r="G24" s="6">
        <f t="shared" ref="G24:G25" si="2">E24-D24</f>
        <v>0</v>
      </c>
      <c r="H24" s="8">
        <v>29</v>
      </c>
      <c r="I24" s="8">
        <f t="shared" ref="I24:I25" si="3">H24*D24</f>
        <v>232</v>
      </c>
      <c r="J24" s="9">
        <f t="shared" ref="J24:J25" si="4">(F24+E24)*H24</f>
        <v>232</v>
      </c>
      <c r="K24" s="9">
        <f t="shared" ref="K24:K25" si="5">J24-I24</f>
        <v>0</v>
      </c>
    </row>
    <row r="25" spans="1:12" x14ac:dyDescent="0.3">
      <c r="A25" s="13"/>
      <c r="B25" s="10" t="s">
        <v>44</v>
      </c>
      <c r="C25" s="11" t="s">
        <v>15</v>
      </c>
      <c r="D25" s="6">
        <v>6</v>
      </c>
      <c r="E25" s="6">
        <v>8</v>
      </c>
      <c r="F25" s="6">
        <v>0</v>
      </c>
      <c r="G25" s="6">
        <f t="shared" si="2"/>
        <v>2</v>
      </c>
      <c r="H25" s="8">
        <v>33</v>
      </c>
      <c r="I25" s="8">
        <f t="shared" si="3"/>
        <v>198</v>
      </c>
      <c r="J25" s="9">
        <f t="shared" si="4"/>
        <v>264</v>
      </c>
      <c r="K25" s="9">
        <f t="shared" si="5"/>
        <v>66</v>
      </c>
    </row>
    <row r="26" spans="1:12" x14ac:dyDescent="0.3">
      <c r="B26" s="50"/>
      <c r="H26" s="32" t="s">
        <v>56</v>
      </c>
      <c r="I26" s="33">
        <f>SUM(I23:I25)</f>
        <v>638</v>
      </c>
      <c r="J26" s="33">
        <f t="shared" ref="J26:K26" si="6">SUM(J23:J25)</f>
        <v>704</v>
      </c>
      <c r="K26" s="33">
        <f t="shared" si="6"/>
        <v>66</v>
      </c>
    </row>
    <row r="27" spans="1:12" x14ac:dyDescent="0.3">
      <c r="A27" s="19" t="s">
        <v>39</v>
      </c>
      <c r="B27" s="49"/>
      <c r="C27" s="13"/>
      <c r="D27" s="13"/>
      <c r="E27" s="13"/>
      <c r="F27" s="13"/>
      <c r="G27" s="13"/>
      <c r="H27" s="13"/>
      <c r="I27" s="13"/>
      <c r="J27" s="22"/>
      <c r="K27" s="13"/>
    </row>
    <row r="28" spans="1:12" x14ac:dyDescent="0.3">
      <c r="A28" s="13"/>
      <c r="B28" s="10" t="s">
        <v>25</v>
      </c>
      <c r="C28" s="11" t="s">
        <v>17</v>
      </c>
      <c r="D28" s="6">
        <v>24</v>
      </c>
      <c r="E28" s="6">
        <v>24</v>
      </c>
      <c r="F28" s="6">
        <v>2</v>
      </c>
      <c r="G28" s="6">
        <f>E28-D28</f>
        <v>0</v>
      </c>
      <c r="H28" s="8">
        <v>26</v>
      </c>
      <c r="I28" s="8">
        <f>H28*D28</f>
        <v>624</v>
      </c>
      <c r="J28" s="9">
        <f>(F28+E28)*H28</f>
        <v>676</v>
      </c>
      <c r="K28" s="9">
        <f>J28-I28</f>
        <v>52</v>
      </c>
      <c r="L28" s="34"/>
    </row>
    <row r="29" spans="1:12" x14ac:dyDescent="0.3">
      <c r="A29" s="13"/>
      <c r="B29" s="10" t="s">
        <v>36</v>
      </c>
      <c r="C29" s="11" t="s">
        <v>26</v>
      </c>
      <c r="D29" s="6">
        <v>8</v>
      </c>
      <c r="E29" s="6">
        <v>24</v>
      </c>
      <c r="F29" s="6">
        <v>12</v>
      </c>
      <c r="G29" s="6">
        <f t="shared" ref="G29:G30" si="7">E29-D29</f>
        <v>16</v>
      </c>
      <c r="H29" s="8">
        <v>29</v>
      </c>
      <c r="I29" s="8">
        <f t="shared" ref="I29:I31" si="8">H29*D29</f>
        <v>232</v>
      </c>
      <c r="J29" s="9">
        <f>(F29+E29)*H29</f>
        <v>1044</v>
      </c>
      <c r="K29" s="9">
        <f t="shared" ref="K29:K31" si="9">J29-I29</f>
        <v>812</v>
      </c>
    </row>
    <row r="30" spans="1:12" x14ac:dyDescent="0.3">
      <c r="A30" s="13"/>
      <c r="B30" s="10" t="s">
        <v>40</v>
      </c>
      <c r="C30" s="11" t="s">
        <v>15</v>
      </c>
      <c r="D30" s="6">
        <v>6</v>
      </c>
      <c r="E30" s="6">
        <v>8</v>
      </c>
      <c r="F30" s="6">
        <v>0</v>
      </c>
      <c r="G30" s="6">
        <f t="shared" si="7"/>
        <v>2</v>
      </c>
      <c r="H30" s="8">
        <v>33</v>
      </c>
      <c r="I30" s="8">
        <f t="shared" si="8"/>
        <v>198</v>
      </c>
      <c r="J30" s="9">
        <f>(F30+E30)*H30</f>
        <v>264</v>
      </c>
      <c r="K30" s="9">
        <f t="shared" si="9"/>
        <v>66</v>
      </c>
    </row>
    <row r="31" spans="1:12" x14ac:dyDescent="0.3">
      <c r="A31" s="13"/>
      <c r="B31" s="10" t="s">
        <v>43</v>
      </c>
      <c r="C31" s="11" t="s">
        <v>15</v>
      </c>
      <c r="D31" s="6">
        <v>10</v>
      </c>
      <c r="E31" s="6">
        <v>16</v>
      </c>
      <c r="F31" s="6">
        <v>2</v>
      </c>
      <c r="G31" s="6">
        <f>E31-D31</f>
        <v>6</v>
      </c>
      <c r="H31" s="8">
        <v>33</v>
      </c>
      <c r="I31" s="8">
        <f t="shared" si="8"/>
        <v>330</v>
      </c>
      <c r="J31" s="9">
        <f>(F31+E31)*H31</f>
        <v>594</v>
      </c>
      <c r="K31" s="9">
        <f t="shared" si="9"/>
        <v>264</v>
      </c>
    </row>
    <row r="32" spans="1:12" x14ac:dyDescent="0.3">
      <c r="A32" s="13"/>
      <c r="B32" s="12" t="s">
        <v>46</v>
      </c>
      <c r="C32" s="15" t="s">
        <v>15</v>
      </c>
      <c r="D32" s="16">
        <v>6</v>
      </c>
      <c r="E32" s="16">
        <v>4</v>
      </c>
      <c r="F32" s="16">
        <v>4</v>
      </c>
      <c r="G32" s="16">
        <f>E32-D32</f>
        <v>-2</v>
      </c>
      <c r="H32" s="20">
        <v>33</v>
      </c>
      <c r="I32" s="20">
        <f t="shared" ref="I32" si="10">H32*D32</f>
        <v>198</v>
      </c>
      <c r="J32" s="21">
        <f>(F32+E32)*H32</f>
        <v>264</v>
      </c>
      <c r="K32" s="21">
        <f t="shared" ref="K32" si="11">J32-I32</f>
        <v>66</v>
      </c>
    </row>
    <row r="33" spans="1:12" x14ac:dyDescent="0.3">
      <c r="B33" s="50"/>
      <c r="H33" s="32" t="s">
        <v>56</v>
      </c>
      <c r="I33" s="33">
        <f>SUM(I30:I32)</f>
        <v>726</v>
      </c>
      <c r="J33" s="33">
        <f t="shared" ref="J33" si="12">SUM(J30:J32)</f>
        <v>1122</v>
      </c>
      <c r="K33" s="33">
        <f>SUM(K28:K32)</f>
        <v>1260</v>
      </c>
    </row>
    <row r="34" spans="1:12" x14ac:dyDescent="0.3">
      <c r="A34" s="19" t="s">
        <v>45</v>
      </c>
      <c r="B34" s="49"/>
      <c r="C34" s="13"/>
      <c r="D34" s="13"/>
      <c r="E34" s="13"/>
      <c r="F34" s="13"/>
      <c r="G34" s="13"/>
      <c r="H34" s="13"/>
      <c r="I34" s="23"/>
      <c r="J34" s="22"/>
      <c r="K34" s="22"/>
    </row>
    <row r="35" spans="1:12" x14ac:dyDescent="0.3">
      <c r="A35" s="13"/>
      <c r="B35" s="10" t="s">
        <v>49</v>
      </c>
      <c r="C35" s="11" t="s">
        <v>17</v>
      </c>
      <c r="D35" s="6">
        <v>16</v>
      </c>
      <c r="E35" s="6">
        <v>0</v>
      </c>
      <c r="F35" s="6">
        <v>0</v>
      </c>
      <c r="G35" s="6">
        <f t="shared" ref="G35:G40" si="13">E35-D35</f>
        <v>-16</v>
      </c>
      <c r="H35" s="39">
        <v>26</v>
      </c>
      <c r="I35" s="8">
        <f t="shared" ref="I35:I40" si="14">H35*D35</f>
        <v>416</v>
      </c>
      <c r="J35" s="9">
        <f t="shared" ref="J35:J40" si="15">(F35+E35)*H35</f>
        <v>0</v>
      </c>
      <c r="K35" s="9">
        <f t="shared" ref="K35:K40" si="16">J35-I35</f>
        <v>-416</v>
      </c>
      <c r="L35" s="34"/>
    </row>
    <row r="36" spans="1:12" x14ac:dyDescent="0.3">
      <c r="A36" s="13"/>
      <c r="B36" s="10" t="s">
        <v>50</v>
      </c>
      <c r="C36" s="11" t="s">
        <v>26</v>
      </c>
      <c r="D36" s="6">
        <v>8</v>
      </c>
      <c r="E36" s="6">
        <v>0</v>
      </c>
      <c r="F36" s="6">
        <v>0</v>
      </c>
      <c r="G36" s="6">
        <f t="shared" si="13"/>
        <v>-8</v>
      </c>
      <c r="H36" s="8">
        <v>29</v>
      </c>
      <c r="I36" s="8">
        <f t="shared" si="14"/>
        <v>232</v>
      </c>
      <c r="J36" s="9">
        <f t="shared" si="15"/>
        <v>0</v>
      </c>
      <c r="K36" s="9">
        <f t="shared" si="16"/>
        <v>-232</v>
      </c>
    </row>
    <row r="37" spans="1:12" x14ac:dyDescent="0.3">
      <c r="A37" s="13"/>
      <c r="B37" s="10" t="s">
        <v>51</v>
      </c>
      <c r="C37" s="11" t="s">
        <v>26</v>
      </c>
      <c r="D37" s="6">
        <v>24</v>
      </c>
      <c r="E37" s="6">
        <v>0</v>
      </c>
      <c r="F37" s="6">
        <v>0</v>
      </c>
      <c r="G37" s="6">
        <f t="shared" si="13"/>
        <v>-24</v>
      </c>
      <c r="H37" s="8">
        <v>29</v>
      </c>
      <c r="I37" s="8">
        <f t="shared" si="14"/>
        <v>696</v>
      </c>
      <c r="J37" s="9">
        <f t="shared" si="15"/>
        <v>0</v>
      </c>
      <c r="K37" s="9">
        <f t="shared" si="16"/>
        <v>-696</v>
      </c>
    </row>
    <row r="38" spans="1:12" x14ac:dyDescent="0.3">
      <c r="A38" s="13"/>
      <c r="B38" s="10" t="s">
        <v>52</v>
      </c>
      <c r="C38" s="11" t="s">
        <v>17</v>
      </c>
      <c r="D38" s="6">
        <v>4</v>
      </c>
      <c r="E38" s="6">
        <v>0</v>
      </c>
      <c r="F38" s="6">
        <v>0</v>
      </c>
      <c r="G38" s="6">
        <f t="shared" si="13"/>
        <v>-4</v>
      </c>
      <c r="H38" s="8">
        <v>26</v>
      </c>
      <c r="I38" s="8">
        <f t="shared" si="14"/>
        <v>104</v>
      </c>
      <c r="J38" s="9">
        <f t="shared" si="15"/>
        <v>0</v>
      </c>
      <c r="K38" s="9">
        <f t="shared" si="16"/>
        <v>-104</v>
      </c>
    </row>
    <row r="39" spans="1:12" x14ac:dyDescent="0.3">
      <c r="A39" s="13"/>
      <c r="B39" s="10" t="s">
        <v>53</v>
      </c>
      <c r="C39" s="11" t="s">
        <v>15</v>
      </c>
      <c r="D39" s="6">
        <v>4</v>
      </c>
      <c r="E39" s="6">
        <v>0</v>
      </c>
      <c r="F39" s="6">
        <v>0</v>
      </c>
      <c r="G39" s="6">
        <f t="shared" si="13"/>
        <v>-4</v>
      </c>
      <c r="H39" s="8">
        <v>33</v>
      </c>
      <c r="I39" s="8">
        <f t="shared" si="14"/>
        <v>132</v>
      </c>
      <c r="J39" s="9">
        <f t="shared" si="15"/>
        <v>0</v>
      </c>
      <c r="K39" s="9">
        <f t="shared" si="16"/>
        <v>-132</v>
      </c>
    </row>
    <row r="40" spans="1:12" x14ac:dyDescent="0.3">
      <c r="A40" s="13"/>
      <c r="B40" s="10" t="s">
        <v>54</v>
      </c>
      <c r="C40" s="11" t="s">
        <v>55</v>
      </c>
      <c r="D40" s="6">
        <v>0</v>
      </c>
      <c r="E40" s="6">
        <v>0</v>
      </c>
      <c r="F40" s="6">
        <v>0</v>
      </c>
      <c r="G40" s="6">
        <f t="shared" si="13"/>
        <v>0</v>
      </c>
      <c r="H40" s="7">
        <v>29.3</v>
      </c>
      <c r="I40" s="8">
        <f t="shared" si="14"/>
        <v>0</v>
      </c>
      <c r="J40" s="9">
        <f t="shared" si="15"/>
        <v>0</v>
      </c>
      <c r="K40" s="9">
        <f t="shared" si="16"/>
        <v>0</v>
      </c>
      <c r="L40" s="1"/>
    </row>
    <row r="41" spans="1:12" x14ac:dyDescent="0.3">
      <c r="H41" s="32" t="s">
        <v>56</v>
      </c>
      <c r="I41" s="33">
        <f>SUM(I35:I40)</f>
        <v>1580</v>
      </c>
      <c r="J41" s="33">
        <f t="shared" ref="J41" si="17">SUM(J38:J40)</f>
        <v>0</v>
      </c>
      <c r="K41" s="33">
        <f>SUM(K35:K39)</f>
        <v>-1580</v>
      </c>
    </row>
    <row r="43" spans="1:12" x14ac:dyDescent="0.3">
      <c r="A43" s="45" t="s">
        <v>41</v>
      </c>
      <c r="B43" s="46">
        <v>45436</v>
      </c>
      <c r="H43" s="4" t="s">
        <v>47</v>
      </c>
      <c r="I43" s="5">
        <f>SUM(I23:I40)-I26-I33</f>
        <v>3800</v>
      </c>
      <c r="J43" s="5">
        <f>SUM(J23:J32)-J26</f>
        <v>3546</v>
      </c>
      <c r="K43" s="5">
        <f>K26+K33+K41</f>
        <v>-254</v>
      </c>
    </row>
    <row r="44" spans="1:12" x14ac:dyDescent="0.3">
      <c r="A44" s="45" t="s">
        <v>42</v>
      </c>
      <c r="B44" s="47" t="s">
        <v>57</v>
      </c>
      <c r="H44" s="24"/>
      <c r="I44" s="25" t="s">
        <v>37</v>
      </c>
      <c r="J44" s="25" t="s">
        <v>38</v>
      </c>
      <c r="K44" s="26"/>
    </row>
    <row r="45" spans="1:12" x14ac:dyDescent="0.3">
      <c r="A45" s="45" t="s">
        <v>58</v>
      </c>
      <c r="B45" s="45">
        <v>96</v>
      </c>
      <c r="H45" s="27"/>
      <c r="I45" s="30">
        <f>1-I43/J46</f>
        <v>0.3666666666666667</v>
      </c>
      <c r="J45" s="30">
        <f>1-J43/J46</f>
        <v>0.40900000000000003</v>
      </c>
      <c r="K45" s="28"/>
    </row>
    <row r="46" spans="1:12" x14ac:dyDescent="0.3">
      <c r="H46" s="29"/>
      <c r="I46" s="35" t="s">
        <v>48</v>
      </c>
      <c r="J46" s="36">
        <v>6000</v>
      </c>
      <c r="K46" s="31"/>
    </row>
    <row r="50" spans="1:11" s="32" customFormat="1" x14ac:dyDescent="0.3">
      <c r="A50" s="32" t="s">
        <v>60</v>
      </c>
    </row>
    <row r="51" spans="1:11" x14ac:dyDescent="0.3">
      <c r="A51" s="48" t="s">
        <v>22</v>
      </c>
      <c r="B51" s="10" t="s">
        <v>29</v>
      </c>
      <c r="C51" s="11" t="s">
        <v>24</v>
      </c>
      <c r="D51" s="6" t="s">
        <v>30</v>
      </c>
      <c r="E51" s="6" t="s">
        <v>31</v>
      </c>
      <c r="F51" s="6" t="s">
        <v>27</v>
      </c>
      <c r="G51" s="7" t="s">
        <v>33</v>
      </c>
      <c r="H51" s="7" t="s">
        <v>34</v>
      </c>
      <c r="I51" s="7" t="s">
        <v>61</v>
      </c>
      <c r="J51" s="7" t="s">
        <v>28</v>
      </c>
    </row>
    <row r="52" spans="1:11" x14ac:dyDescent="0.3">
      <c r="A52" s="14" t="s">
        <v>23</v>
      </c>
      <c r="B52" s="49"/>
      <c r="C52" s="13"/>
      <c r="D52" s="13"/>
      <c r="E52" s="13"/>
      <c r="F52" s="13"/>
      <c r="G52" s="13"/>
      <c r="H52" s="13"/>
      <c r="I52" s="13"/>
      <c r="J52" s="13"/>
    </row>
    <row r="53" spans="1:11" x14ac:dyDescent="0.3">
      <c r="A53" s="13"/>
      <c r="B53" s="10" t="s">
        <v>25</v>
      </c>
      <c r="C53" s="11" t="s">
        <v>17</v>
      </c>
      <c r="D53" s="6">
        <v>8</v>
      </c>
      <c r="E53" s="6">
        <v>8</v>
      </c>
      <c r="F53" s="6">
        <f>E53-D53</f>
        <v>0</v>
      </c>
      <c r="G53" s="8">
        <v>26</v>
      </c>
      <c r="H53" s="8">
        <f>G53*D53</f>
        <v>208</v>
      </c>
      <c r="I53" s="9">
        <f>G53*E53</f>
        <v>208</v>
      </c>
      <c r="J53" s="9">
        <f>I53-H53</f>
        <v>0</v>
      </c>
      <c r="K53" s="34"/>
    </row>
    <row r="54" spans="1:11" x14ac:dyDescent="0.3">
      <c r="A54" s="13"/>
      <c r="B54" s="10" t="s">
        <v>45</v>
      </c>
      <c r="C54" s="11" t="s">
        <v>26</v>
      </c>
      <c r="D54" s="6">
        <v>8</v>
      </c>
      <c r="E54" s="6">
        <v>8</v>
      </c>
      <c r="F54" s="17">
        <f t="shared" ref="F54:F70" si="18">E54-D54</f>
        <v>0</v>
      </c>
      <c r="G54" s="8">
        <v>29</v>
      </c>
      <c r="H54" s="8">
        <f>G54*D54</f>
        <v>232</v>
      </c>
      <c r="I54" s="18">
        <f>G54*E54</f>
        <v>232</v>
      </c>
      <c r="J54" s="9">
        <f t="shared" ref="J54:J55" si="19">I54-H54</f>
        <v>0</v>
      </c>
    </row>
    <row r="55" spans="1:11" x14ac:dyDescent="0.3">
      <c r="A55" s="13"/>
      <c r="B55" s="10" t="s">
        <v>44</v>
      </c>
      <c r="C55" s="11" t="s">
        <v>15</v>
      </c>
      <c r="D55" s="6">
        <v>6</v>
      </c>
      <c r="E55" s="6">
        <v>8</v>
      </c>
      <c r="F55" s="6">
        <f t="shared" si="18"/>
        <v>2</v>
      </c>
      <c r="G55" s="8">
        <v>33</v>
      </c>
      <c r="H55" s="8">
        <f>G55*D55</f>
        <v>198</v>
      </c>
      <c r="I55" s="9">
        <f>G55*E55</f>
        <v>264</v>
      </c>
      <c r="J55" s="9">
        <f t="shared" si="19"/>
        <v>66</v>
      </c>
    </row>
    <row r="56" spans="1:11" x14ac:dyDescent="0.3">
      <c r="B56" s="50"/>
      <c r="F56" s="13"/>
      <c r="G56" s="32" t="s">
        <v>56</v>
      </c>
      <c r="H56" s="33">
        <f>SUM(H53:H55)</f>
        <v>638</v>
      </c>
      <c r="I56" s="38">
        <f>SUM(I53:I55)</f>
        <v>704</v>
      </c>
      <c r="J56" s="33">
        <f t="shared" ref="J56" si="20">SUM(J53:J55)</f>
        <v>66</v>
      </c>
    </row>
    <row r="57" spans="1:11" x14ac:dyDescent="0.3">
      <c r="A57" s="19" t="s">
        <v>39</v>
      </c>
      <c r="B57" s="49"/>
      <c r="C57" s="13"/>
      <c r="D57" s="13"/>
      <c r="E57" s="13"/>
      <c r="F57" s="13"/>
      <c r="G57" s="13"/>
      <c r="H57" s="13"/>
      <c r="I57" s="22"/>
      <c r="J57" s="13"/>
    </row>
    <row r="58" spans="1:11" x14ac:dyDescent="0.3">
      <c r="A58" s="13"/>
      <c r="B58" s="10" t="s">
        <v>25</v>
      </c>
      <c r="C58" s="11" t="s">
        <v>17</v>
      </c>
      <c r="D58" s="6">
        <v>24</v>
      </c>
      <c r="E58" s="6">
        <v>41</v>
      </c>
      <c r="F58" s="6">
        <f t="shared" si="18"/>
        <v>17</v>
      </c>
      <c r="G58" s="8">
        <v>26</v>
      </c>
      <c r="H58" s="8">
        <f>G58*D58</f>
        <v>624</v>
      </c>
      <c r="I58" s="9">
        <f>G58*E58</f>
        <v>1066</v>
      </c>
      <c r="J58" s="9">
        <f>I58-H58</f>
        <v>442</v>
      </c>
    </row>
    <row r="59" spans="1:11" x14ac:dyDescent="0.3">
      <c r="A59" s="13"/>
      <c r="B59" s="10" t="s">
        <v>36</v>
      </c>
      <c r="C59" s="11" t="s">
        <v>26</v>
      </c>
      <c r="D59" s="6">
        <v>8</v>
      </c>
      <c r="E59" s="6">
        <v>36</v>
      </c>
      <c r="F59" s="17">
        <f t="shared" si="18"/>
        <v>28</v>
      </c>
      <c r="G59" s="8">
        <v>29</v>
      </c>
      <c r="H59" s="8">
        <f>G59*D59</f>
        <v>232</v>
      </c>
      <c r="I59" s="18">
        <f>G59*E59</f>
        <v>1044</v>
      </c>
      <c r="J59" s="9">
        <f t="shared" ref="J59:J62" si="21">I59-H59</f>
        <v>812</v>
      </c>
      <c r="K59" s="34"/>
    </row>
    <row r="60" spans="1:11" x14ac:dyDescent="0.3">
      <c r="A60" s="13"/>
      <c r="B60" s="10" t="s">
        <v>40</v>
      </c>
      <c r="C60" s="11" t="s">
        <v>15</v>
      </c>
      <c r="D60" s="6">
        <v>6</v>
      </c>
      <c r="E60" s="6">
        <v>8</v>
      </c>
      <c r="F60" s="17">
        <f t="shared" si="18"/>
        <v>2</v>
      </c>
      <c r="G60" s="8">
        <v>33</v>
      </c>
      <c r="H60" s="8">
        <f>G60*D60</f>
        <v>198</v>
      </c>
      <c r="I60" s="18">
        <f>G60*E60</f>
        <v>264</v>
      </c>
      <c r="J60" s="9">
        <f t="shared" si="21"/>
        <v>66</v>
      </c>
    </row>
    <row r="61" spans="1:11" x14ac:dyDescent="0.3">
      <c r="A61" s="13"/>
      <c r="B61" s="10" t="s">
        <v>43</v>
      </c>
      <c r="C61" s="11" t="s">
        <v>15</v>
      </c>
      <c r="D61" s="6">
        <v>10</v>
      </c>
      <c r="E61" s="6">
        <v>24</v>
      </c>
      <c r="F61" s="17">
        <f t="shared" si="18"/>
        <v>14</v>
      </c>
      <c r="G61" s="8">
        <v>33</v>
      </c>
      <c r="H61" s="8">
        <f>G61*D61</f>
        <v>330</v>
      </c>
      <c r="I61" s="18">
        <f>G61*E61</f>
        <v>792</v>
      </c>
      <c r="J61" s="9">
        <f t="shared" si="21"/>
        <v>462</v>
      </c>
    </row>
    <row r="62" spans="1:11" x14ac:dyDescent="0.3">
      <c r="A62" s="13"/>
      <c r="B62" s="10" t="s">
        <v>46</v>
      </c>
      <c r="C62" s="11" t="s">
        <v>15</v>
      </c>
      <c r="D62" s="6">
        <v>6</v>
      </c>
      <c r="E62" s="6">
        <v>4</v>
      </c>
      <c r="F62" s="6">
        <f t="shared" si="18"/>
        <v>-2</v>
      </c>
      <c r="G62" s="8">
        <v>33</v>
      </c>
      <c r="H62" s="8">
        <f>G62*D62</f>
        <v>198</v>
      </c>
      <c r="I62" s="9">
        <f>G62*E62</f>
        <v>132</v>
      </c>
      <c r="J62" s="9">
        <f t="shared" si="21"/>
        <v>-66</v>
      </c>
    </row>
    <row r="63" spans="1:11" x14ac:dyDescent="0.3">
      <c r="B63" s="50"/>
      <c r="F63" s="13"/>
      <c r="G63" s="32" t="s">
        <v>56</v>
      </c>
      <c r="H63" s="33">
        <f>SUM(H60:H62)</f>
        <v>726</v>
      </c>
      <c r="I63" s="38">
        <f>SUM(I58:I62)</f>
        <v>3298</v>
      </c>
      <c r="J63" s="33">
        <f>SUM(J58:J62)</f>
        <v>1716</v>
      </c>
    </row>
    <row r="64" spans="1:11" x14ac:dyDescent="0.3">
      <c r="A64" s="19" t="s">
        <v>45</v>
      </c>
      <c r="B64" s="49"/>
      <c r="C64" s="13"/>
      <c r="D64" s="13"/>
      <c r="E64" s="13"/>
      <c r="F64" s="13"/>
      <c r="G64" s="13"/>
      <c r="H64" s="23"/>
      <c r="I64" s="22"/>
      <c r="J64" s="22"/>
    </row>
    <row r="65" spans="1:11" x14ac:dyDescent="0.3">
      <c r="A65" s="13"/>
      <c r="B65" s="10" t="s">
        <v>49</v>
      </c>
      <c r="C65" s="11" t="s">
        <v>17</v>
      </c>
      <c r="D65" s="6">
        <v>16</v>
      </c>
      <c r="E65" s="6">
        <v>0</v>
      </c>
      <c r="F65" s="6">
        <f t="shared" si="18"/>
        <v>-16</v>
      </c>
      <c r="G65" s="39">
        <v>26</v>
      </c>
      <c r="H65" s="8">
        <f t="shared" ref="H65:H71" si="22">G65*D65</f>
        <v>416</v>
      </c>
      <c r="I65" s="9">
        <f t="shared" ref="I65:I71" si="23">G65*E65</f>
        <v>0</v>
      </c>
      <c r="J65" s="9">
        <f t="shared" ref="J65:J71" si="24">I65-H65</f>
        <v>-416</v>
      </c>
    </row>
    <row r="66" spans="1:11" x14ac:dyDescent="0.3">
      <c r="A66" s="13"/>
      <c r="B66" s="10" t="s">
        <v>50</v>
      </c>
      <c r="C66" s="11" t="s">
        <v>26</v>
      </c>
      <c r="D66" s="6">
        <v>8</v>
      </c>
      <c r="E66" s="6">
        <v>0</v>
      </c>
      <c r="F66" s="17">
        <f t="shared" si="18"/>
        <v>-8</v>
      </c>
      <c r="G66" s="8">
        <v>29</v>
      </c>
      <c r="H66" s="8">
        <f t="shared" si="22"/>
        <v>232</v>
      </c>
      <c r="I66" s="18">
        <f t="shared" si="23"/>
        <v>0</v>
      </c>
      <c r="J66" s="9">
        <f t="shared" si="24"/>
        <v>-232</v>
      </c>
      <c r="K66" s="34"/>
    </row>
    <row r="67" spans="1:11" x14ac:dyDescent="0.3">
      <c r="A67" s="13"/>
      <c r="B67" s="10" t="s">
        <v>51</v>
      </c>
      <c r="C67" s="11" t="s">
        <v>26</v>
      </c>
      <c r="D67" s="6">
        <v>24</v>
      </c>
      <c r="E67" s="6">
        <v>0</v>
      </c>
      <c r="F67" s="17">
        <f t="shared" si="18"/>
        <v>-24</v>
      </c>
      <c r="G67" s="8">
        <v>29</v>
      </c>
      <c r="H67" s="8">
        <f t="shared" si="22"/>
        <v>696</v>
      </c>
      <c r="I67" s="18">
        <f t="shared" si="23"/>
        <v>0</v>
      </c>
      <c r="J67" s="9">
        <f t="shared" si="24"/>
        <v>-696</v>
      </c>
    </row>
    <row r="68" spans="1:11" x14ac:dyDescent="0.3">
      <c r="A68" s="13"/>
      <c r="B68" s="10" t="s">
        <v>52</v>
      </c>
      <c r="C68" s="11" t="s">
        <v>17</v>
      </c>
      <c r="D68" s="6">
        <v>4</v>
      </c>
      <c r="E68" s="6">
        <v>0</v>
      </c>
      <c r="F68" s="17">
        <f t="shared" si="18"/>
        <v>-4</v>
      </c>
      <c r="G68" s="8">
        <v>26</v>
      </c>
      <c r="H68" s="8">
        <f t="shared" si="22"/>
        <v>104</v>
      </c>
      <c r="I68" s="18">
        <f t="shared" si="23"/>
        <v>0</v>
      </c>
      <c r="J68" s="9">
        <f t="shared" si="24"/>
        <v>-104</v>
      </c>
    </row>
    <row r="69" spans="1:11" x14ac:dyDescent="0.3">
      <c r="A69" s="13"/>
      <c r="B69" s="10" t="s">
        <v>53</v>
      </c>
      <c r="C69" s="11" t="s">
        <v>15</v>
      </c>
      <c r="D69" s="6">
        <v>4</v>
      </c>
      <c r="E69" s="6">
        <v>0</v>
      </c>
      <c r="F69" s="17">
        <f t="shared" si="18"/>
        <v>-4</v>
      </c>
      <c r="G69" s="8">
        <v>33</v>
      </c>
      <c r="H69" s="8">
        <f t="shared" si="22"/>
        <v>132</v>
      </c>
      <c r="I69" s="18">
        <f t="shared" si="23"/>
        <v>0</v>
      </c>
      <c r="J69" s="9">
        <f t="shared" si="24"/>
        <v>-132</v>
      </c>
    </row>
    <row r="70" spans="1:11" x14ac:dyDescent="0.3">
      <c r="A70" s="13"/>
      <c r="B70" s="10" t="s">
        <v>54</v>
      </c>
      <c r="C70" s="11" t="s">
        <v>55</v>
      </c>
      <c r="D70" s="6">
        <v>0</v>
      </c>
      <c r="E70" s="6">
        <v>0</v>
      </c>
      <c r="F70" s="17">
        <f t="shared" si="18"/>
        <v>0</v>
      </c>
      <c r="G70" s="39">
        <v>29.3</v>
      </c>
      <c r="H70" s="8">
        <f t="shared" si="22"/>
        <v>0</v>
      </c>
      <c r="I70" s="18">
        <f t="shared" si="23"/>
        <v>0</v>
      </c>
      <c r="J70" s="9">
        <f t="shared" si="24"/>
        <v>0</v>
      </c>
    </row>
    <row r="71" spans="1:11" x14ac:dyDescent="0.3">
      <c r="B71" s="10" t="s">
        <v>64</v>
      </c>
      <c r="C71" s="11" t="s">
        <v>17</v>
      </c>
      <c r="D71" s="6">
        <v>0</v>
      </c>
      <c r="E71" s="6">
        <v>7</v>
      </c>
      <c r="F71" s="17">
        <f t="shared" ref="F71" si="25">E71-D71</f>
        <v>7</v>
      </c>
      <c r="G71" s="39">
        <v>26</v>
      </c>
      <c r="H71" s="8">
        <f t="shared" si="22"/>
        <v>0</v>
      </c>
      <c r="I71" s="18">
        <f t="shared" si="23"/>
        <v>182</v>
      </c>
      <c r="J71" s="9">
        <f t="shared" si="24"/>
        <v>182</v>
      </c>
    </row>
    <row r="72" spans="1:11" x14ac:dyDescent="0.3">
      <c r="G72" s="32" t="s">
        <v>56</v>
      </c>
      <c r="H72" s="33">
        <f>SUM(H65:H71)</f>
        <v>1580</v>
      </c>
      <c r="I72" s="37">
        <f>SUM(I65:I71)</f>
        <v>182</v>
      </c>
      <c r="J72" s="37">
        <f>SUM(J65:J71)</f>
        <v>-1398</v>
      </c>
    </row>
    <row r="74" spans="1:11" x14ac:dyDescent="0.3">
      <c r="A74" s="45" t="s">
        <v>41</v>
      </c>
      <c r="B74" s="46">
        <v>45443</v>
      </c>
      <c r="G74" s="4" t="s">
        <v>47</v>
      </c>
      <c r="H74" s="40">
        <f>SUM(H53:H70)-H56-H63</f>
        <v>3800</v>
      </c>
      <c r="I74" s="5">
        <f>I56+I63+I72</f>
        <v>4184</v>
      </c>
      <c r="J74" s="5">
        <f>J56+J63+J72</f>
        <v>384</v>
      </c>
    </row>
    <row r="75" spans="1:11" x14ac:dyDescent="0.3">
      <c r="A75" s="45" t="s">
        <v>42</v>
      </c>
      <c r="B75" s="47" t="s">
        <v>62</v>
      </c>
      <c r="G75" s="54" t="s">
        <v>37</v>
      </c>
      <c r="H75" s="55"/>
      <c r="I75" s="55" t="s">
        <v>63</v>
      </c>
      <c r="J75" s="58"/>
    </row>
    <row r="76" spans="1:11" x14ac:dyDescent="0.3">
      <c r="A76" s="45" t="s">
        <v>58</v>
      </c>
      <c r="B76" s="45">
        <v>132</v>
      </c>
      <c r="G76" s="56">
        <f>1-H74/I77</f>
        <v>0.3666666666666667</v>
      </c>
      <c r="H76" s="57"/>
      <c r="I76" s="57">
        <f>1-I74/I77</f>
        <v>0.30266666666666664</v>
      </c>
      <c r="J76" s="59"/>
    </row>
    <row r="77" spans="1:11" x14ac:dyDescent="0.3">
      <c r="G77" s="52" t="s">
        <v>48</v>
      </c>
      <c r="H77" s="53"/>
      <c r="I77" s="60">
        <v>6000</v>
      </c>
      <c r="J77" s="61"/>
    </row>
  </sheetData>
  <mergeCells count="7">
    <mergeCell ref="A18:B18"/>
    <mergeCell ref="G77:H77"/>
    <mergeCell ref="G75:H75"/>
    <mergeCell ref="G76:H76"/>
    <mergeCell ref="I75:J75"/>
    <mergeCell ref="I76:J76"/>
    <mergeCell ref="I77:J7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Cout 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Amiard</dc:creator>
  <cp:lastModifiedBy>Grégoire de susanne</cp:lastModifiedBy>
  <cp:lastPrinted>2024-05-31T11:13:27Z</cp:lastPrinted>
  <dcterms:created xsi:type="dcterms:W3CDTF">2024-05-15T13:28:56Z</dcterms:created>
  <dcterms:modified xsi:type="dcterms:W3CDTF">2024-05-31T13:23:18Z</dcterms:modified>
</cp:coreProperties>
</file>